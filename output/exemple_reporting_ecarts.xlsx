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" sheetId="1" state="visible" r:id="rId1"/>
    <sheet xmlns:r="http://schemas.openxmlformats.org/officeDocument/2006/relationships" name="Écarts par département" sheetId="2" state="visible" r:id="rId2"/>
    <sheet xmlns:r="http://schemas.openxmlformats.org/officeDocument/2006/relationships" name="Écarts par catégorie" sheetId="3" state="visible" r:id="rId3"/>
    <sheet xmlns:r="http://schemas.openxmlformats.org/officeDocument/2006/relationships" name="Commentai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&quot; €&quot;"/>
    <numFmt numFmtId="165" formatCode="+#,##0&quot; €&quot;;-#,##0&quot; €&quot;"/>
    <numFmt numFmtId="166" formatCode="+0.0%;-0.0%"/>
  </numFmts>
  <fonts count="8">
    <font>
      <name val="Calibri"/>
      <family val="2"/>
      <color theme="1"/>
      <sz val="11"/>
      <scheme val="minor"/>
    </font>
    <font>
      <b val="1"/>
      <color rgb="000C5563"/>
      <sz val="18"/>
    </font>
    <font>
      <i val="1"/>
      <color rgb="005E6B7A"/>
    </font>
    <font>
      <b val="1"/>
      <color rgb="005E6B7A"/>
      <sz val="9"/>
    </font>
    <font>
      <b val="1"/>
      <color rgb="00137A8B"/>
      <sz val="16"/>
    </font>
    <font>
      <b val="1"/>
      <color rgb="00D9534F"/>
      <sz val="16"/>
    </font>
    <font>
      <b val="1"/>
      <color rgb="00FFFFFF"/>
    </font>
    <font>
      <b val="1"/>
      <color rgb="000C5563"/>
      <sz val="13"/>
    </font>
  </fonts>
  <fills count="3">
    <fill>
      <patternFill/>
    </fill>
    <fill>
      <patternFill patternType="gray125"/>
    </fill>
    <fill>
      <patternFill patternType="solid">
        <fgColor rgb="00137A8B"/>
      </patternFill>
    </fill>
  </fills>
  <borders count="2">
    <border>
      <left/>
      <right/>
      <top/>
      <bottom/>
      <diagonal/>
    </border>
    <border>
      <left style="thin">
        <color rgb="00DCE2E8"/>
      </left>
      <right style="thin">
        <color rgb="00DCE2E8"/>
      </right>
      <top style="thin">
        <color rgb="00DCE2E8"/>
      </top>
      <bottom style="thin">
        <color rgb="00DCE2E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0" fontId="6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7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Écart total par département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'Écarts par département'!D1</f>
            </strRef>
          </tx>
          <spPr>
            <a:solidFill xmlns:a="http://schemas.openxmlformats.org/drawingml/2006/main">
              <a:srgbClr val="137A8B"/>
            </a:solidFill>
            <a:ln xmlns:a="http://schemas.openxmlformats.org/drawingml/2006/main">
              <a:prstDash val="solid"/>
            </a:ln>
          </spPr>
          <cat>
            <numRef>
              <f>'Écarts par département'!$A$2:$A$5</f>
            </numRef>
          </cat>
          <val>
            <numRef>
              <f>'Écarts par département'!$D$2:$D$5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9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6"/>
  <sheetViews>
    <sheetView showGridLines="0" workbookViewId="0">
      <selection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2">
      <c r="B2" s="1" t="inlineStr">
        <is>
          <t>Reporting de gestion — écarts Budget vs Réel</t>
        </is>
      </c>
    </row>
    <row r="3">
      <c r="B3" s="2" t="inlineStr">
        <is>
          <t>Généré automatiquement le 2026-08-28</t>
        </is>
      </c>
    </row>
    <row r="5">
      <c r="B5" s="3" t="inlineStr">
        <is>
          <t>Réel</t>
        </is>
      </c>
      <c r="D5" s="3" t="inlineStr">
        <is>
          <t>Budget</t>
        </is>
      </c>
      <c r="F5" s="3" t="inlineStr">
        <is>
          <t>Écart total</t>
        </is>
      </c>
      <c r="H5" s="3" t="inlineStr">
        <is>
          <t>Écart %</t>
        </is>
      </c>
    </row>
    <row r="6">
      <c r="B6" s="4" t="n">
        <v>70256493.73</v>
      </c>
      <c r="D6" s="4" t="n">
        <v>71631395.78999999</v>
      </c>
      <c r="F6" s="5" t="n">
        <v>-1374902.059999987</v>
      </c>
      <c r="H6" s="6" t="n">
        <v>-0.01919412633017447</v>
      </c>
    </row>
  </sheetData>
  <mergeCells count="8">
    <mergeCell ref="D6:E6"/>
    <mergeCell ref="B6:C6"/>
    <mergeCell ref="H6:I6"/>
    <mergeCell ref="B5:C5"/>
    <mergeCell ref="F5:G5"/>
    <mergeCell ref="D5:E5"/>
    <mergeCell ref="F6:G6"/>
    <mergeCell ref="H5:I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7" t="inlineStr">
        <is>
          <t>Département</t>
        </is>
      </c>
      <c r="B1" s="7" t="inlineStr">
        <is>
          <t>Budget €</t>
        </is>
      </c>
      <c r="C1" s="7" t="inlineStr">
        <is>
          <t>Réel €</t>
        </is>
      </c>
      <c r="D1" s="7" t="inlineStr">
        <is>
          <t>Écart total €</t>
        </is>
      </c>
      <c r="E1" s="7" t="inlineStr">
        <is>
          <t>dont Volume €</t>
        </is>
      </c>
      <c r="F1" s="7" t="inlineStr">
        <is>
          <t>dont Mix €</t>
        </is>
      </c>
      <c r="G1" s="7" t="inlineStr">
        <is>
          <t>dont Prix €</t>
        </is>
      </c>
    </row>
    <row r="2">
      <c r="A2" s="8" t="inlineStr">
        <is>
          <t>Culture</t>
        </is>
      </c>
      <c r="B2" s="9" t="n">
        <v>6079963</v>
      </c>
      <c r="C2" s="9" t="n">
        <v>6502317</v>
      </c>
      <c r="D2" s="9" t="n">
        <v>422353</v>
      </c>
      <c r="E2" s="9" t="n">
        <v>116203</v>
      </c>
      <c r="F2" s="9" t="n">
        <v>0</v>
      </c>
      <c r="G2" s="9" t="n">
        <v>306150</v>
      </c>
    </row>
    <row r="3">
      <c r="A3" s="8" t="inlineStr">
        <is>
          <t>Maison &amp; Quotidien</t>
        </is>
      </c>
      <c r="B3" s="9" t="n">
        <v>20224670</v>
      </c>
      <c r="C3" s="9" t="n">
        <v>21004599</v>
      </c>
      <c r="D3" s="9" t="n">
        <v>779929</v>
      </c>
      <c r="E3" s="9" t="n">
        <v>461253</v>
      </c>
      <c r="F3" s="9" t="n">
        <v>-13042</v>
      </c>
      <c r="G3" s="9" t="n">
        <v>331718</v>
      </c>
    </row>
    <row r="4">
      <c r="A4" s="8" t="inlineStr">
        <is>
          <t>Mode &amp; Bien-être</t>
        </is>
      </c>
      <c r="B4" s="9" t="n">
        <v>22923950</v>
      </c>
      <c r="C4" s="9" t="n">
        <v>21420748</v>
      </c>
      <c r="D4" s="9" t="n">
        <v>-1503202</v>
      </c>
      <c r="E4" s="9" t="n">
        <v>-1062654</v>
      </c>
      <c r="F4" s="9" t="n">
        <v>-32418</v>
      </c>
      <c r="G4" s="9" t="n">
        <v>-408130</v>
      </c>
    </row>
    <row r="5">
      <c r="A5" s="8" t="inlineStr">
        <is>
          <t>Tech &amp; Loisirs numériques</t>
        </is>
      </c>
      <c r="B5" s="9" t="n">
        <v>22402813</v>
      </c>
      <c r="C5" s="9" t="n">
        <v>21328830</v>
      </c>
      <c r="D5" s="9" t="n">
        <v>-1073983</v>
      </c>
      <c r="E5" s="9" t="n">
        <v>-50387</v>
      </c>
      <c r="F5" s="9" t="n">
        <v>73751</v>
      </c>
      <c r="G5" s="9" t="n">
        <v>-1097346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7" t="inlineStr">
        <is>
          <t>Catégorie</t>
        </is>
      </c>
      <c r="B1" s="7" t="inlineStr">
        <is>
          <t>Département</t>
        </is>
      </c>
      <c r="C1" s="7" t="inlineStr">
        <is>
          <t>Budget €</t>
        </is>
      </c>
      <c r="D1" s="7" t="inlineStr">
        <is>
          <t>Réel €</t>
        </is>
      </c>
      <c r="E1" s="7" t="inlineStr">
        <is>
          <t>Écart total €</t>
        </is>
      </c>
      <c r="F1" s="7" t="inlineStr">
        <is>
          <t>dont Volume €</t>
        </is>
      </c>
      <c r="G1" s="7" t="inlineStr">
        <is>
          <t>dont Prix €</t>
        </is>
      </c>
    </row>
    <row r="2">
      <c r="A2" s="8" t="inlineStr">
        <is>
          <t>Informatique</t>
        </is>
      </c>
      <c r="B2" s="8" t="inlineStr">
        <is>
          <t>Tech &amp; Loisirs numériques</t>
        </is>
      </c>
      <c r="C2" s="9" t="n">
        <v>8215900</v>
      </c>
      <c r="D2" s="9" t="n">
        <v>6814899</v>
      </c>
      <c r="E2" s="9" t="n">
        <v>-1401002</v>
      </c>
      <c r="F2" s="9" t="n">
        <v>-1016374</v>
      </c>
      <c r="G2" s="9" t="n">
        <v>-384628</v>
      </c>
    </row>
    <row r="3">
      <c r="A3" s="8" t="inlineStr">
        <is>
          <t>Mode</t>
        </is>
      </c>
      <c r="B3" s="8" t="inlineStr">
        <is>
          <t>Mode &amp; Bien-être</t>
        </is>
      </c>
      <c r="C3" s="9" t="n">
        <v>8407862</v>
      </c>
      <c r="D3" s="9" t="n">
        <v>7408380</v>
      </c>
      <c r="E3" s="9" t="n">
        <v>-999483</v>
      </c>
      <c r="F3" s="9" t="n">
        <v>-714312</v>
      </c>
      <c r="G3" s="9" t="n">
        <v>-285170</v>
      </c>
    </row>
    <row r="4">
      <c r="A4" s="8" t="inlineStr">
        <is>
          <t>Jardin</t>
        </is>
      </c>
      <c r="B4" s="8" t="inlineStr">
        <is>
          <t>Maison &amp; Quotidien</t>
        </is>
      </c>
      <c r="C4" s="9" t="n">
        <v>5966905</v>
      </c>
      <c r="D4" s="9" t="n">
        <v>6597837</v>
      </c>
      <c r="E4" s="9" t="n">
        <v>630932</v>
      </c>
      <c r="F4" s="9" t="n">
        <v>350447</v>
      </c>
      <c r="G4" s="9" t="n">
        <v>280485</v>
      </c>
    </row>
    <row r="5">
      <c r="A5" s="8" t="inlineStr">
        <is>
          <t>Sport</t>
        </is>
      </c>
      <c r="B5" s="8" t="inlineStr">
        <is>
          <t>Mode &amp; Bien-être</t>
        </is>
      </c>
      <c r="C5" s="9" t="n">
        <v>7717730</v>
      </c>
      <c r="D5" s="9" t="n">
        <v>7146578</v>
      </c>
      <c r="E5" s="9" t="n">
        <v>-571152</v>
      </c>
      <c r="F5" s="9" t="n">
        <v>-345070</v>
      </c>
      <c r="G5" s="9" t="n">
        <v>-226083</v>
      </c>
    </row>
    <row r="6">
      <c r="A6" s="8" t="inlineStr">
        <is>
          <t>Livres</t>
        </is>
      </c>
      <c r="B6" s="8" t="inlineStr">
        <is>
          <t>Culture</t>
        </is>
      </c>
      <c r="C6" s="9" t="n">
        <v>6079963</v>
      </c>
      <c r="D6" s="9" t="n">
        <v>6502317</v>
      </c>
      <c r="E6" s="9" t="n">
        <v>422353</v>
      </c>
      <c r="F6" s="9" t="n">
        <v>116203</v>
      </c>
      <c r="G6" s="9" t="n">
        <v>306150</v>
      </c>
    </row>
    <row r="7">
      <c r="A7" s="8" t="inlineStr">
        <is>
          <t>Électronique</t>
        </is>
      </c>
      <c r="B7" s="8" t="inlineStr">
        <is>
          <t>Tech &amp; Loisirs numériques</t>
        </is>
      </c>
      <c r="C7" s="9" t="n">
        <v>5870798</v>
      </c>
      <c r="D7" s="9" t="n">
        <v>6147712</v>
      </c>
      <c r="E7" s="9" t="n">
        <v>276914</v>
      </c>
      <c r="F7" s="9" t="n">
        <v>518296</v>
      </c>
      <c r="G7" s="9" t="n">
        <v>-241382</v>
      </c>
    </row>
    <row r="8">
      <c r="A8" s="8" t="inlineStr">
        <is>
          <t>Maison</t>
        </is>
      </c>
      <c r="B8" s="8" t="inlineStr">
        <is>
          <t>Maison &amp; Quotidien</t>
        </is>
      </c>
      <c r="C8" s="9" t="n">
        <v>6400486</v>
      </c>
      <c r="D8" s="9" t="n">
        <v>6652534</v>
      </c>
      <c r="E8" s="9" t="n">
        <v>252048</v>
      </c>
      <c r="F8" s="9" t="n">
        <v>283068</v>
      </c>
      <c r="G8" s="9" t="n">
        <v>-31020</v>
      </c>
    </row>
    <row r="9">
      <c r="A9" s="8" t="inlineStr">
        <is>
          <t>Alimentation</t>
        </is>
      </c>
      <c r="B9" s="8" t="inlineStr">
        <is>
          <t>Maison &amp; Quotidien</t>
        </is>
      </c>
      <c r="C9" s="9" t="n">
        <v>7857279</v>
      </c>
      <c r="D9" s="9" t="n">
        <v>7754229</v>
      </c>
      <c r="E9" s="9" t="n">
        <v>-103051</v>
      </c>
      <c r="F9" s="9" t="n">
        <v>-185304</v>
      </c>
      <c r="G9" s="9" t="n">
        <v>82254</v>
      </c>
    </row>
    <row r="10">
      <c r="A10" s="8" t="inlineStr">
        <is>
          <t>Beauté</t>
        </is>
      </c>
      <c r="B10" s="8" t="inlineStr">
        <is>
          <t>Mode &amp; Bien-être</t>
        </is>
      </c>
      <c r="C10" s="9" t="n">
        <v>6798357</v>
      </c>
      <c r="D10" s="9" t="n">
        <v>6865790</v>
      </c>
      <c r="E10" s="9" t="n">
        <v>67433</v>
      </c>
      <c r="F10" s="9" t="n">
        <v>-35690</v>
      </c>
      <c r="G10" s="9" t="n">
        <v>103123</v>
      </c>
    </row>
    <row r="11">
      <c r="A11" s="8" t="inlineStr">
        <is>
          <t>Jouets</t>
        </is>
      </c>
      <c r="B11" s="8" t="inlineStr">
        <is>
          <t>Tech &amp; Loisirs numériques</t>
        </is>
      </c>
      <c r="C11" s="9" t="n">
        <v>8316114</v>
      </c>
      <c r="D11" s="9" t="n">
        <v>8366219</v>
      </c>
      <c r="E11" s="9" t="n">
        <v>50105</v>
      </c>
      <c r="F11" s="9" t="n">
        <v>521442</v>
      </c>
      <c r="G11" s="9" t="n">
        <v>-471337</v>
      </c>
    </row>
  </sheetData>
  <conditionalFormatting sqref="E2:E11">
    <cfRule type="colorScale" priority="1">
      <colorScale>
        <cfvo type="min"/>
        <cfvo type="num" val="0"/>
        <cfvo type="max"/>
        <color rgb="00D9534F"/>
        <color rgb="00FFFFFF"/>
        <color rgb="002FA3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B7"/>
  <sheetViews>
    <sheetView showGridLines="0" workbookViewId="0">
      <selection activeCell="A1" sqref="A1"/>
    </sheetView>
  </sheetViews>
  <sheetFormatPr baseColWidth="8" defaultRowHeight="15"/>
  <cols>
    <col width="110" customWidth="1" min="2" max="2"/>
  </cols>
  <sheetData>
    <row r="2">
      <c r="B2" s="10" t="inlineStr">
        <is>
          <t>Commentaires par département (générés automatiquement)</t>
        </is>
      </c>
    </row>
    <row r="4" ht="30" customHeight="1">
      <c r="B4" s="11" t="inlineStr">
        <is>
          <t>Mode &amp; Bien-être : écart défavorable de -1,503,202 €. Facteur principal : volume (-1,062,654 €) — le volume total vendu s'écarte du budget.</t>
        </is>
      </c>
    </row>
    <row r="5" ht="30" customHeight="1">
      <c r="B5" s="11" t="inlineStr">
        <is>
          <t>Tech &amp; Loisirs numériques : écart défavorable de -1,073,983 €. Facteur principal : prix (-1,097,346 €) — le prix de vente réalisé s'écarte du prix budgété.</t>
        </is>
      </c>
    </row>
    <row r="6" ht="30" customHeight="1">
      <c r="B6" s="11" t="inlineStr">
        <is>
          <t>Culture : écart favorable de +422,353 €. Facteur principal : prix (+306,150 €) — le prix de vente réalisé s'écarte du prix budgété.</t>
        </is>
      </c>
    </row>
    <row r="7" ht="30" customHeight="1">
      <c r="B7" s="11" t="inlineStr">
        <is>
          <t>Maison &amp; Quotidien : écart favorable de +779,929 €. Facteur principal : volume (+461,253 €) — le volume total vendu s'écarte du budget.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2026-08-28T17:05:39Z</dcterms:created>
  <dcterms:modified xmlns:dcterms="http://purl.org/dc/terms/" xmlns:xsi="http://www.w3.org/2001/XMLSchema-instance" xsi:type="dcterms:W3CDTF">2026-08-28T17:05:39Z</dcterms:modified>
</cp:coreProperties>
</file>